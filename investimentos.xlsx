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1000" windowHeight="13500" activeTab="3"/>
  </bookViews>
  <sheets>
    <sheet name="Carteira" sheetId="1" r:id="rId1"/>
    <sheet name="Movimentações" sheetId="2" r:id="rId2"/>
    <sheet name="Proventos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<sst xmlns="http://schemas.openxmlformats.org/spreadsheetml/2006/main" count="112" uniqueCount="60">
  <si>
    <t>Carteira de Investimentos</t>
  </si>
  <si>
    <t>Preencha as células em amarelo (Ticker, Tipo, Quantidade, Preço Médio, Preço Atual). As demais colunas são calculadas automaticamente.</t>
  </si>
  <si>
    <t>Ticker</t>
  </si>
  <si>
    <t>Tipo de Ativo</t>
  </si>
  <si>
    <t>Quantidade</t>
  </si>
  <si>
    <t>Preço Médio (R$)</t>
  </si>
  <si>
    <t>Preço Atual (R$)</t>
  </si>
  <si>
    <t>Valor Investido (R$)</t>
  </si>
  <si>
    <t>Valor Atual (R$)</t>
  </si>
  <si>
    <t>Rentabilidade (R$)</t>
  </si>
  <si>
    <t>Rentabilidade (%)</t>
  </si>
  <si>
    <t>Proventos Recebidos (R$)</t>
  </si>
  <si>
    <t>PETR4</t>
  </si>
  <si>
    <t>Ação</t>
  </si>
  <si>
    <t>VALE3</t>
  </si>
  <si>
    <t>ITUB4</t>
  </si>
  <si>
    <t>HGLG11</t>
  </si>
  <si>
    <t>FII</t>
  </si>
  <si>
    <t>MXRF11</t>
  </si>
  <si>
    <t>IVVB11</t>
  </si>
  <si>
    <t>ETF</t>
  </si>
  <si>
    <t>Tesouro Selic 2029</t>
  </si>
  <si>
    <t>Renda Fixa</t>
  </si>
  <si>
    <t>BTC</t>
  </si>
  <si>
    <t>Cripto</t>
  </si>
  <si>
    <t>TOTAL</t>
  </si>
  <si>
    <t>Movimentações (Compras e Vendas)</t>
  </si>
  <si>
    <t>Registre aqui cada compra ou venda. O Total é calculado somando taxas na compra e descontando taxas na venda.</t>
  </si>
  <si>
    <t>Data</t>
  </si>
  <si>
    <t>Ativo</t>
  </si>
  <si>
    <t>Tipo</t>
  </si>
  <si>
    <t>Preço (R$)</t>
  </si>
  <si>
    <t>Taxas (R$)</t>
  </si>
  <si>
    <t>Total (R$)</t>
  </si>
  <si>
    <t>Compra</t>
  </si>
  <si>
    <t>Venda</t>
  </si>
  <si>
    <t>Proventos Recebidos (Dividendos, JCP, Rendimentos)</t>
  </si>
  <si>
    <t>Registre aqui cada provento recebido. A coluna Mês/Ano é usada no resumo do Dashboard.</t>
  </si>
  <si>
    <t>Valor (R$)</t>
  </si>
  <si>
    <t>Mês/Ano</t>
  </si>
  <si>
    <t>Dividendo</t>
  </si>
  <si>
    <t>Rendimento</t>
  </si>
  <si>
    <t>JCP</t>
  </si>
  <si>
    <t>Dashboard - Resumo da Carteira</t>
  </si>
  <si>
    <t>Resumo Geral</t>
  </si>
  <si>
    <t>Total Investido</t>
  </si>
  <si>
    <t>Valor Atual da Carteira</t>
  </si>
  <si>
    <t>Total de Proventos Recebidos</t>
  </si>
  <si>
    <t>Quantidade de Ativos</t>
  </si>
  <si>
    <t>Alocação por Tipo de Ativo</t>
  </si>
  <si>
    <t>% da Carteira</t>
  </si>
  <si>
    <t>Outro</t>
  </si>
  <si>
    <t>Proventos Recebidos por Mês</t>
  </si>
  <si>
    <t>Total Recebido (R$)</t>
  </si>
  <si>
    <t>01/2026</t>
  </si>
  <si>
    <t>02/2026</t>
  </si>
  <si>
    <t>03/2026</t>
  </si>
  <si>
    <t>11/2025</t>
  </si>
  <si>
    <t>12/2025</t>
  </si>
  <si>
    <t>Observação: os valores desta planilha são exemplos ilustrativos. Substitua pelos seus dados reais nas abas Carteira, Movimentações e Proventos.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</si>
</sst>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R$ #,##0.00;[RED]-R$ #,##0.00;&quot;-&quot;"/>
    <numFmt numFmtId="166" formatCode="0.0%;[RED]-0.0%;&quot;-&quot;"/>
    <numFmt numFmtId="167" formatCode="DD/MM/YYYY"/>
    <numFmt numFmtId="168" formatCode="R$ #,##0.00;[RED]-R$ 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8000"/>
      <name val="Arial"/>
      <family val="2"/>
    </font>
    <font>
      <b/>
      <sz val="11"/>
      <color rgb="FF1F4E78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5" fontId="5" fillId="0" borderId="1" xfId="0" applyNumberFormat="1" applyFont="1" applyBorder="1"/>
    <xf numFmtId="0" fontId="6" fillId="5" borderId="1" xfId="0" applyFont="1" applyFill="1" applyBorder="1"/>
    <xf numFmtId="165" fontId="6" fillId="5" borderId="1" xfId="0" applyNumberFormat="1" applyFont="1" applyFill="1" applyBorder="1"/>
    <xf numFmtId="166" fontId="6" fillId="5" borderId="1" xfId="0" applyNumberFormat="1" applyFont="1" applyFill="1" applyBorder="1"/>
    <xf numFmtId="167" fontId="4" fillId="4" borderId="1" xfId="0" applyNumberFormat="1" applyFont="1" applyFill="1" applyBorder="1"/>
    <xf numFmtId="168" fontId="4" fillId="4" borderId="1" xfId="0" applyNumberFormat="1" applyFont="1" applyFill="1" applyBorder="1"/>
    <xf numFmtId="0" fontId="4" fillId="0" borderId="1" xfId="0" applyFont="1" applyBorder="1"/>
    <xf numFmtId="0" fontId="7" fillId="0" borderId="0" xfId="0" applyFont="1"/>
    <xf numFmtId="166" fontId="5" fillId="0" borderId="1" xfId="0" applyNumberFormat="1" applyFont="1" applyBorder="1"/>
    <xf numFmtId="1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14.7109375" customWidth="1"/>
    <col min="3" max="3" width="12.7109375" customWidth="1"/>
    <col min="4" max="5" width="16.7109375" customWidth="1"/>
    <col min="6" max="7" width="17.7109375" customWidth="1"/>
    <col min="8" max="8" width="16.7109375" customWidth="1"/>
    <col min="9" max="9" width="14.7109375" customWidth="1"/>
    <col min="10" max="10" width="18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3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4" t="s">
        <v>13</v>
      </c>
      <c r="C5" s="5">
        <v>100</v>
      </c>
      <c r="D5" s="5">
        <v>28.5</v>
      </c>
      <c r="E5" s="5">
        <v>35.2</v>
      </c>
      <c r="F5" s="6">
        <f>C5*D5</f>
        <v>2850.0</v>
      </c>
      <c r="G5" s="6">
        <f>C5*E5</f>
        <v>3520.0000000000005</v>
      </c>
      <c r="H5" s="6">
        <f>G5-F5</f>
        <v>670.0000000000005</v>
      </c>
      <c r="I5" s="7">
        <f>IF(F5=0,0,H5/F5)</f>
        <v>0.23508771929824576</v>
      </c>
      <c r="J5" s="8">
        <f>SUMIF(Proventos!$B:$B,A5,Proventos!$D:$D)</f>
        <v>77.0</v>
      </c>
    </row>
    <row r="6" spans="1:10">
      <c r="A6" s="4" t="s">
        <v>14</v>
      </c>
      <c r="B6" s="4" t="s">
        <v>13</v>
      </c>
      <c r="C6" s="5">
        <v>50</v>
      </c>
      <c r="D6" s="5">
        <v>62</v>
      </c>
      <c r="E6" s="5">
        <v>58.4</v>
      </c>
      <c r="F6" s="6">
        <f>C6*D6</f>
        <v>3100.0</v>
      </c>
      <c r="G6" s="6">
        <f>C6*E6</f>
        <v>2920.0</v>
      </c>
      <c r="H6" s="6">
        <f>G6-F6</f>
        <v>-180.0</v>
      </c>
      <c r="I6" s="7">
        <f>IF(F6=0,0,H6/F6)</f>
        <v>-0.05806451612903226</v>
      </c>
      <c r="J6" s="8">
        <f>SUMIF(Proventos!$B:$B,A6,Proventos!$D:$D)</f>
        <v>0</v>
      </c>
    </row>
    <row r="7" spans="1:10">
      <c r="A7" s="4" t="s">
        <v>15</v>
      </c>
      <c r="B7" s="4" t="s">
        <v>13</v>
      </c>
      <c r="C7" s="5">
        <v>80</v>
      </c>
      <c r="D7" s="5">
        <v>27.8</v>
      </c>
      <c r="E7" s="5">
        <v>32.1</v>
      </c>
      <c r="F7" s="6">
        <f>C7*D7</f>
        <v>2224.0</v>
      </c>
      <c r="G7" s="6">
        <f>C7*E7</f>
        <v>2568.0</v>
      </c>
      <c r="H7" s="6">
        <f>G7-F7</f>
        <v>344.0</v>
      </c>
      <c r="I7" s="7">
        <f>IF(F7=0,0,H7/F7)</f>
        <v>0.15467625899280577</v>
      </c>
      <c r="J7" s="8">
        <f>SUMIF(Proventos!$B:$B,A7,Proventos!$D:$D)</f>
        <v>22.5</v>
      </c>
    </row>
    <row r="8" spans="1:10">
      <c r="A8" s="4" t="s">
        <v>16</v>
      </c>
      <c r="B8" s="4" t="s">
        <v>17</v>
      </c>
      <c r="C8" s="5">
        <v>40</v>
      </c>
      <c r="D8" s="5">
        <v>165</v>
      </c>
      <c r="E8" s="5">
        <v>172.5</v>
      </c>
      <c r="F8" s="6">
        <f>C8*D8</f>
        <v>6600.0</v>
      </c>
      <c r="G8" s="6">
        <f>C8*E8</f>
        <v>6900.0</v>
      </c>
      <c r="H8" s="6">
        <f>G8-F8</f>
        <v>300.0</v>
      </c>
      <c r="I8" s="7">
        <f>IF(F8=0,0,H8/F8)</f>
        <v>0.045454545454545456</v>
      </c>
      <c r="J8" s="8">
        <f>SUMIF(Proventos!$B:$B,A8,Proventos!$D:$D)</f>
        <v>117.5</v>
      </c>
    </row>
    <row r="9" spans="1:10">
      <c r="A9" s="4" t="s">
        <v>18</v>
      </c>
      <c r="B9" s="4" t="s">
        <v>17</v>
      </c>
      <c r="C9" s="5">
        <v>200</v>
      </c>
      <c r="D9" s="5">
        <v>10.2</v>
      </c>
      <c r="E9" s="5">
        <v>9.85</v>
      </c>
      <c r="F9" s="6">
        <f>C9*D9</f>
        <v>2039.9999999999998</v>
      </c>
      <c r="G9" s="6">
        <f>C9*E9</f>
        <v>1970.0</v>
      </c>
      <c r="H9" s="6">
        <f>G9-F9</f>
        <v>-69.99999999999977</v>
      </c>
      <c r="I9" s="7">
        <f>IF(F9=0,0,H9/F9)</f>
        <v>-0.03431372549019597</v>
      </c>
      <c r="J9" s="8">
        <f>SUMIF(Proventos!$B:$B,A9,Proventos!$D:$D)</f>
        <v>73.3</v>
      </c>
    </row>
    <row r="10" spans="1:10">
      <c r="A10" s="4" t="s">
        <v>19</v>
      </c>
      <c r="B10" s="4" t="s">
        <v>20</v>
      </c>
      <c r="C10" s="5">
        <v>30</v>
      </c>
      <c r="D10" s="5">
        <v>270</v>
      </c>
      <c r="E10" s="5">
        <v>305</v>
      </c>
      <c r="F10" s="6">
        <f>C10*D10</f>
        <v>8100.0</v>
      </c>
      <c r="G10" s="6">
        <f>C10*E10</f>
        <v>9150.0</v>
      </c>
      <c r="H10" s="6">
        <f>G10-F10</f>
        <v>1050.0</v>
      </c>
      <c r="I10" s="7">
        <f>IF(F10=0,0,H10/F10)</f>
        <v>0.12962962962962962</v>
      </c>
      <c r="J10" s="8">
        <f>SUMIF(Proventos!$B:$B,A10,Proventos!$D:$D)</f>
        <v>0</v>
      </c>
    </row>
    <row r="11" spans="1:10">
      <c r="A11" s="4" t="s">
        <v>21</v>
      </c>
      <c r="B11" s="4" t="s">
        <v>22</v>
      </c>
      <c r="C11" s="5">
        <v>1</v>
      </c>
      <c r="D11" s="5">
        <v>12500</v>
      </c>
      <c r="E11" s="5">
        <v>13100</v>
      </c>
      <c r="F11" s="6">
        <f>C11*D11</f>
        <v>12500.0</v>
      </c>
      <c r="G11" s="6">
        <f>C11*E11</f>
        <v>13100.0</v>
      </c>
      <c r="H11" s="6">
        <f>G11-F11</f>
        <v>600.0</v>
      </c>
      <c r="I11" s="7">
        <f>IF(F11=0,0,H11/F11)</f>
        <v>0.048</v>
      </c>
      <c r="J11" s="8">
        <f>SUMIF(Proventos!$B:$B,A11,Proventos!$D:$D)</f>
        <v>0</v>
      </c>
    </row>
    <row r="12" spans="1:10">
      <c r="A12" s="4" t="s">
        <v>23</v>
      </c>
      <c r="B12" s="4" t="s">
        <v>24</v>
      </c>
      <c r="C12" s="5">
        <v>0.05</v>
      </c>
      <c r="D12" s="5">
        <v>250000</v>
      </c>
      <c r="E12" s="5">
        <v>310000</v>
      </c>
      <c r="F12" s="6">
        <f>C12*D12</f>
        <v>12500.0</v>
      </c>
      <c r="G12" s="6">
        <f>C12*E12</f>
        <v>15500.0</v>
      </c>
      <c r="H12" s="6">
        <f>G12-F12</f>
        <v>3000.0</v>
      </c>
      <c r="I12" s="7">
        <f>IF(F12=0,0,H12/F12)</f>
        <v>0.24</v>
      </c>
      <c r="J12" s="8">
        <f>SUMIF(Proventos!$B:$B,A12,Proventos!$D:$D)</f>
        <v>0</v>
      </c>
    </row>
    <row r="13" spans="1:10">
      <c r="A13" s="9" t="s">
        <v>25</v>
      </c>
      <c r="B13" s="9"/>
      <c r="C13" s="9"/>
      <c r="D13" s="9"/>
      <c r="E13" s="9"/>
      <c r="F13" s="10">
        <f>SUM(F5:F12)</f>
        <v>49914.0</v>
      </c>
      <c r="G13" s="10">
        <f>SUM(G5:G12)</f>
        <v>55628.0</v>
      </c>
      <c r="H13" s="10">
        <f>G13-F13</f>
        <v>5714.0</v>
      </c>
      <c r="I13" s="11">
        <f>IF(F13=0,0,H13/F13)</f>
        <v>0.11447690026846176</v>
      </c>
      <c r="J13" s="10">
        <f>SUM(J5:J12)</f>
        <v>290.3</v>
      </c>
    </row>
  </sheetData>
  <mergeCells count="2">
    <mergeCell ref="A1:J1"/>
    <mergeCell ref="A2:J2"/>
  </mergeCells>
  <dataValidations count="1">
    <dataValidation type="list" allowBlank="1" showInputMessage="1" showErrorMessage="1" sqref="B5:B200">
      <formula1>"Ação,FII,Renda Fixa,ETF,Cripto,Outro"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12.7109375" customWidth="1"/>
    <col min="4" max="6" width="14.7109375" customWidth="1"/>
    <col min="7" max="7" width="16.7109375" customWidth="1"/>
  </cols>
  <sheetData>
    <row r="1" spans="1:7" ht="28" customHeight="1">
      <c r="A1" s="1" t="s">
        <v>26</v>
      </c>
      <c r="B1" s="1"/>
      <c r="C1" s="1"/>
      <c r="D1" s="1"/>
      <c r="E1" s="1"/>
      <c r="F1" s="1"/>
      <c r="G1" s="1"/>
    </row>
    <row r="2" spans="1:7">
      <c r="A2" s="2" t="s">
        <v>27</v>
      </c>
      <c r="B2" s="2"/>
      <c r="C2" s="2"/>
      <c r="D2" s="2"/>
      <c r="E2" s="2"/>
      <c r="F2" s="2"/>
      <c r="G2" s="2"/>
    </row>
    <row r="4" spans="1:7" ht="24" customHeight="1">
      <c r="A4" s="3" t="s">
        <v>28</v>
      </c>
      <c r="B4" s="3" t="s">
        <v>29</v>
      </c>
      <c r="C4" s="3" t="s">
        <v>30</v>
      </c>
      <c r="D4" s="3" t="s">
        <v>4</v>
      </c>
      <c r="E4" s="3" t="s">
        <v>31</v>
      </c>
      <c r="F4" s="3" t="s">
        <v>32</v>
      </c>
      <c r="G4" s="3" t="s">
        <v>33</v>
      </c>
    </row>
    <row r="5" spans="1:7">
      <c r="A5" s="12">
        <v>45672</v>
      </c>
      <c r="B5" s="4" t="s">
        <v>12</v>
      </c>
      <c r="C5" s="4" t="s">
        <v>34</v>
      </c>
      <c r="D5" s="5">
        <v>60</v>
      </c>
      <c r="E5" s="13">
        <v>28.1</v>
      </c>
      <c r="F5" s="13">
        <v>4.9</v>
      </c>
      <c r="G5" s="6">
        <f>IF(C5="Compra",D5*E5+F5,D5*E5-F5)</f>
        <v>1690.9</v>
      </c>
    </row>
    <row r="6" spans="1:7">
      <c r="A6" s="12">
        <v>45726</v>
      </c>
      <c r="B6" s="4" t="s">
        <v>12</v>
      </c>
      <c r="C6" s="4" t="s">
        <v>34</v>
      </c>
      <c r="D6" s="5">
        <v>40</v>
      </c>
      <c r="E6" s="13">
        <v>29</v>
      </c>
      <c r="F6" s="13">
        <v>4.9</v>
      </c>
      <c r="G6" s="6">
        <f>IF(C6="Compra",D6*E6+F6,D6*E6-F6)</f>
        <v>1164.9</v>
      </c>
    </row>
    <row r="7" spans="1:7">
      <c r="A7" s="12">
        <v>45693</v>
      </c>
      <c r="B7" s="4" t="s">
        <v>14</v>
      </c>
      <c r="C7" s="4" t="s">
        <v>34</v>
      </c>
      <c r="D7" s="5">
        <v>50</v>
      </c>
      <c r="E7" s="13">
        <v>62</v>
      </c>
      <c r="F7" s="13">
        <v>5.2</v>
      </c>
      <c r="G7" s="6">
        <f>IF(C7="Compra",D7*E7+F7,D7*E7-F7)</f>
        <v>3105.2</v>
      </c>
    </row>
    <row r="8" spans="1:7">
      <c r="A8" s="12">
        <v>45677</v>
      </c>
      <c r="B8" s="4" t="s">
        <v>15</v>
      </c>
      <c r="C8" s="4" t="s">
        <v>34</v>
      </c>
      <c r="D8" s="5">
        <v>80</v>
      </c>
      <c r="E8" s="13">
        <v>27.8</v>
      </c>
      <c r="F8" s="13">
        <v>6.1</v>
      </c>
      <c r="G8" s="6">
        <f>IF(C8="Compra",D8*E8+F8,D8*E8-F8)</f>
        <v>2230.1</v>
      </c>
    </row>
    <row r="9" spans="1:7">
      <c r="A9" s="12">
        <v>45759</v>
      </c>
      <c r="B9" s="4" t="s">
        <v>16</v>
      </c>
      <c r="C9" s="4" t="s">
        <v>34</v>
      </c>
      <c r="D9" s="5">
        <v>40</v>
      </c>
      <c r="E9" s="13">
        <v>165</v>
      </c>
      <c r="F9" s="13">
        <v>3.8</v>
      </c>
      <c r="G9" s="6">
        <f>IF(C9="Compra",D9*E9+F9,D9*E9-F9)</f>
        <v>6603.8</v>
      </c>
    </row>
    <row r="10" spans="1:7">
      <c r="A10" s="12">
        <v>45795</v>
      </c>
      <c r="B10" s="4" t="s">
        <v>18</v>
      </c>
      <c r="C10" s="4" t="s">
        <v>34</v>
      </c>
      <c r="D10" s="5">
        <v>200</v>
      </c>
      <c r="E10" s="13">
        <v>10.2</v>
      </c>
      <c r="F10" s="13">
        <v>2.5</v>
      </c>
      <c r="G10" s="6">
        <f>IF(C10="Compra",D10*E10+F10,D10*E10-F10)</f>
        <v>2042.4999999999998</v>
      </c>
    </row>
    <row r="11" spans="1:7">
      <c r="A11" s="12">
        <v>45713</v>
      </c>
      <c r="B11" s="4" t="s">
        <v>19</v>
      </c>
      <c r="C11" s="4" t="s">
        <v>34</v>
      </c>
      <c r="D11" s="5">
        <v>30</v>
      </c>
      <c r="E11" s="13">
        <v>270</v>
      </c>
      <c r="F11" s="13">
        <v>7</v>
      </c>
      <c r="G11" s="6">
        <f>IF(C11="Compra",D11*E11+F11,D11*E11-F11)</f>
        <v>8107.0</v>
      </c>
    </row>
    <row r="12" spans="1:7">
      <c r="A12" s="12">
        <v>45809</v>
      </c>
      <c r="B12" s="4" t="s">
        <v>21</v>
      </c>
      <c r="C12" s="4" t="s">
        <v>34</v>
      </c>
      <c r="D12" s="5">
        <v>1</v>
      </c>
      <c r="E12" s="13">
        <v>12500</v>
      </c>
      <c r="F12" s="13">
        <v>0</v>
      </c>
      <c r="G12" s="6">
        <f>IF(C12="Compra",D12*E12+F12,D12*E12-F12)</f>
        <v>12500.0</v>
      </c>
    </row>
    <row r="13" spans="1:7">
      <c r="A13" s="12">
        <v>45846</v>
      </c>
      <c r="B13" s="4" t="s">
        <v>23</v>
      </c>
      <c r="C13" s="4" t="s">
        <v>34</v>
      </c>
      <c r="D13" s="5">
        <v>0.05</v>
      </c>
      <c r="E13" s="13">
        <v>250000</v>
      </c>
      <c r="F13" s="13">
        <v>15</v>
      </c>
      <c r="G13" s="6">
        <f>IF(C13="Compra",D13*E13+F13,D13*E13-F13)</f>
        <v>12515.0</v>
      </c>
    </row>
    <row r="14" spans="1:7">
      <c r="A14" s="12">
        <v>46032</v>
      </c>
      <c r="B14" s="4" t="s">
        <v>18</v>
      </c>
      <c r="C14" s="4" t="s">
        <v>35</v>
      </c>
      <c r="D14" s="5">
        <v>20</v>
      </c>
      <c r="E14" s="13">
        <v>9.9</v>
      </c>
      <c r="F14" s="13">
        <v>1.5</v>
      </c>
      <c r="G14" s="6">
        <f>IF(C14="Compra",D14*E14+F14,D14*E14-F14)</f>
        <v>196.5</v>
      </c>
    </row>
  </sheetData>
  <mergeCells count="2">
    <mergeCell ref="A1:G1"/>
    <mergeCell ref="A2:G2"/>
  </mergeCells>
  <dataValidations count="1">
    <dataValidation type="list" allowBlank="1" showInputMessage="1" showErrorMessage="1" sqref="C5:C500">
      <formula1>"Compra,Venda"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4" width="14.7109375" customWidth="1"/>
    <col min="5" max="5" width="12.7109375" customWidth="1"/>
  </cols>
  <sheetData>
    <row r="1" spans="1:5" ht="28" customHeight="1">
      <c r="A1" s="1" t="s">
        <v>36</v>
      </c>
      <c r="B1" s="1"/>
      <c r="C1" s="1"/>
      <c r="D1" s="1"/>
      <c r="E1" s="1"/>
    </row>
    <row r="2" spans="1:5">
      <c r="A2" s="2" t="s">
        <v>37</v>
      </c>
      <c r="B2" s="2"/>
      <c r="C2" s="2"/>
      <c r="D2" s="2"/>
      <c r="E2" s="2"/>
    </row>
    <row r="4" spans="1:5" ht="24" customHeight="1">
      <c r="A4" s="3" t="s">
        <v>28</v>
      </c>
      <c r="B4" s="3" t="s">
        <v>29</v>
      </c>
      <c r="C4" s="3" t="s">
        <v>30</v>
      </c>
      <c r="D4" s="3" t="s">
        <v>38</v>
      </c>
      <c r="E4" s="3" t="s">
        <v>39</v>
      </c>
    </row>
    <row r="5" spans="1:5">
      <c r="A5" s="12">
        <v>45975</v>
      </c>
      <c r="B5" s="4" t="s">
        <v>12</v>
      </c>
      <c r="C5" s="4" t="s">
        <v>40</v>
      </c>
      <c r="D5" s="13">
        <v>45</v>
      </c>
      <c r="E5" s="14" t="str">
        <f>TEXT(A5,"MM/YYYY")</f>
        <v>11/2025</v>
      </c>
    </row>
    <row r="6" spans="1:5">
      <c r="A6" s="12">
        <v>46001</v>
      </c>
      <c r="B6" s="4" t="s">
        <v>16</v>
      </c>
      <c r="C6" s="4" t="s">
        <v>41</v>
      </c>
      <c r="D6" s="13">
        <v>38.4</v>
      </c>
      <c r="E6" s="14" t="str">
        <f>TEXT(A6,"MM/YYYY")</f>
        <v>12/2025</v>
      </c>
    </row>
    <row r="7" spans="1:5">
      <c r="A7" s="12">
        <v>46001</v>
      </c>
      <c r="B7" s="4" t="s">
        <v>18</v>
      </c>
      <c r="C7" s="4" t="s">
        <v>41</v>
      </c>
      <c r="D7" s="13">
        <v>20</v>
      </c>
      <c r="E7" s="14" t="str">
        <f>TEXT(A7,"MM/YYYY")</f>
        <v>12/2025</v>
      </c>
    </row>
    <row r="8" spans="1:5">
      <c r="A8" s="12">
        <v>46036</v>
      </c>
      <c r="B8" s="4" t="s">
        <v>12</v>
      </c>
      <c r="C8" s="4" t="s">
        <v>42</v>
      </c>
      <c r="D8" s="13">
        <v>32</v>
      </c>
      <c r="E8" s="14" t="str">
        <f>TEXT(A8,"MM/YYYY")</f>
        <v>01/2026</v>
      </c>
    </row>
    <row r="9" spans="1:5">
      <c r="A9" s="12">
        <v>46032</v>
      </c>
      <c r="B9" s="4" t="s">
        <v>16</v>
      </c>
      <c r="C9" s="4" t="s">
        <v>41</v>
      </c>
      <c r="D9" s="13">
        <v>39.1</v>
      </c>
      <c r="E9" s="14" t="str">
        <f>TEXT(A9,"MM/YYYY")</f>
        <v>01/2026</v>
      </c>
    </row>
    <row r="10" spans="1:5">
      <c r="A10" s="12">
        <v>46032</v>
      </c>
      <c r="B10" s="4" t="s">
        <v>18</v>
      </c>
      <c r="C10" s="4" t="s">
        <v>41</v>
      </c>
      <c r="D10" s="13">
        <v>18.6</v>
      </c>
      <c r="E10" s="14" t="str">
        <f>TEXT(A10,"MM/YYYY")</f>
        <v>01/2026</v>
      </c>
    </row>
    <row r="11" spans="1:5">
      <c r="A11" s="12">
        <v>46058</v>
      </c>
      <c r="B11" s="4" t="s">
        <v>15</v>
      </c>
      <c r="C11" s="4" t="s">
        <v>42</v>
      </c>
      <c r="D11" s="13">
        <v>22.5</v>
      </c>
      <c r="E11" s="14" t="str">
        <f>TEXT(A11,"MM/YYYY")</f>
        <v>02/2026</v>
      </c>
    </row>
    <row r="12" spans="1:5">
      <c r="A12" s="12">
        <v>46063</v>
      </c>
      <c r="B12" s="4" t="s">
        <v>16</v>
      </c>
      <c r="C12" s="4" t="s">
        <v>41</v>
      </c>
      <c r="D12" s="13">
        <v>40</v>
      </c>
      <c r="E12" s="14" t="str">
        <f>TEXT(A12,"MM/YYYY")</f>
        <v>02/2026</v>
      </c>
    </row>
    <row r="13" spans="1:5">
      <c r="A13" s="12">
        <v>46063</v>
      </c>
      <c r="B13" s="4" t="s">
        <v>18</v>
      </c>
      <c r="C13" s="4" t="s">
        <v>41</v>
      </c>
      <c r="D13" s="13">
        <v>17.9</v>
      </c>
      <c r="E13" s="14" t="str">
        <f>TEXT(A13,"MM/YYYY")</f>
        <v>02/2026</v>
      </c>
    </row>
    <row r="14" spans="1:5">
      <c r="A14" s="12">
        <v>46091</v>
      </c>
      <c r="B14" s="4" t="s">
        <v>18</v>
      </c>
      <c r="C14" s="4" t="s">
        <v>41</v>
      </c>
      <c r="D14" s="13">
        <v>16.8</v>
      </c>
      <c r="E14" s="14" t="str">
        <f>TEXT(A14,"MM/YYYY")</f>
        <v>03/2026</v>
      </c>
    </row>
  </sheetData>
  <mergeCells count="2">
    <mergeCell ref="A1:E1"/>
    <mergeCell ref="A2:E2"/>
  </mergeCells>
  <dataValidations count="1">
    <dataValidation type="list" allowBlank="1" showInputMessage="1" showErrorMessage="1" sqref="C5:C500">
      <formula1>"Dividendo,JCP,Rendimento,Outro"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showGridLines="0" tabSelected="1" workbookViewId="0"/>
  </sheetViews>
  <sheetFormatPr defaultRowHeight="15"/>
  <cols>
    <col min="1" max="1" width="26.7109375" customWidth="1"/>
    <col min="2" max="2" width="20.7109375" customWidth="1"/>
    <col min="3" max="4" width="16.7109375" customWidth="1"/>
  </cols>
  <sheetData>
    <row r="1" spans="1:4" ht="28" customHeight="1">
      <c r="A1" s="1" t="s">
        <v>43</v>
      </c>
      <c r="B1" s="1"/>
      <c r="C1" s="1"/>
      <c r="D1" s="1"/>
    </row>
    <row r="3" spans="1:4">
      <c r="A3" s="9" t="s">
        <v>44</v>
      </c>
      <c r="B3" s="9"/>
    </row>
    <row r="4" spans="1:4">
      <c r="A4" s="15" t="s">
        <v>45</v>
      </c>
      <c r="B4" s="8">
        <f>Carteira!F13</f>
        <v>49914.0</v>
      </c>
    </row>
    <row r="5" spans="1:4">
      <c r="A5" s="15" t="s">
        <v>46</v>
      </c>
      <c r="B5" s="8">
        <f>Carteira!G13</f>
        <v>55628.0</v>
      </c>
    </row>
    <row r="6" spans="1:4">
      <c r="A6" s="15" t="s">
        <v>9</v>
      </c>
      <c r="B6" s="8">
        <f>Carteira!H13</f>
        <v>5714.0</v>
      </c>
    </row>
    <row r="7" spans="1:4">
      <c r="A7" s="15" t="s">
        <v>10</v>
      </c>
      <c r="B7" s="16">
        <f>Carteira!I13</f>
        <v>0.11447690026846176</v>
      </c>
    </row>
    <row r="8" spans="1:4">
      <c r="A8" s="15" t="s">
        <v>47</v>
      </c>
      <c r="B8" s="8">
        <f>Carteira!J13</f>
        <v>290.3</v>
      </c>
    </row>
    <row r="9" spans="1:4">
      <c r="A9" s="15" t="s">
        <v>48</v>
      </c>
      <c r="B9" s="17">
        <f>COUNTA(Carteira!A5:A12)</f>
        <v>8</v>
      </c>
    </row>
    <row r="11" spans="1:4">
      <c r="A11" s="9" t="s">
        <v>49</v>
      </c>
      <c r="B11" s="9"/>
      <c r="C11" s="9"/>
    </row>
    <row r="12" spans="1:4">
      <c r="A12" s="3" t="s">
        <v>3</v>
      </c>
      <c r="B12" s="3" t="s">
        <v>8</v>
      </c>
      <c r="C12" s="3" t="s">
        <v>50</v>
      </c>
    </row>
    <row r="13" spans="1:4">
      <c r="A13" s="14" t="s">
        <v>13</v>
      </c>
      <c r="B13" s="8">
        <f>SUMIF(Carteira!$B$5:$B$12,A13,Carteira!$G$5:$G$12)</f>
        <v>9008.0</v>
      </c>
      <c r="C13" s="16">
        <f>IF($B$5=0,0,B13/$B$5)</f>
        <v>0.16193283957719135</v>
      </c>
    </row>
    <row r="14" spans="1:4">
      <c r="A14" s="14" t="s">
        <v>17</v>
      </c>
      <c r="B14" s="8">
        <f>SUMIF(Carteira!$B$5:$B$12,A14,Carteira!$G$5:$G$12)</f>
        <v>8870.0</v>
      </c>
      <c r="C14" s="16">
        <f>IF($B$5=0,0,B14/$B$5)</f>
        <v>0.1594520744948587</v>
      </c>
    </row>
    <row r="15" spans="1:4">
      <c r="A15" s="14" t="s">
        <v>20</v>
      </c>
      <c r="B15" s="8">
        <f>SUMIF(Carteira!$B$5:$B$12,A15,Carteira!$G$5:$G$12)</f>
        <v>9150.0</v>
      </c>
      <c r="C15" s="16">
        <f>IF($B$5=0,0,B15/$B$5)</f>
        <v>0.16448551089379448</v>
      </c>
    </row>
    <row r="16" spans="1:4">
      <c r="A16" s="14" t="s">
        <v>22</v>
      </c>
      <c r="B16" s="8">
        <f>SUMIF(Carteira!$B$5:$B$12,A16,Carteira!$G$5:$G$12)</f>
        <v>13100.0</v>
      </c>
      <c r="C16" s="16">
        <f>IF($B$5=0,0,B16/$B$5)</f>
        <v>0.23549291723592436</v>
      </c>
    </row>
    <row r="17" spans="1:4">
      <c r="A17" s="14" t="s">
        <v>24</v>
      </c>
      <c r="B17" s="8">
        <f>SUMIF(Carteira!$B$5:$B$12,A17,Carteira!$G$5:$G$12)</f>
        <v>15500.0</v>
      </c>
      <c r="C17" s="16">
        <f>IF($B$5=0,0,B17/$B$5)</f>
        <v>0.2786366577982311</v>
      </c>
    </row>
    <row r="18" spans="1:4">
      <c r="A18" s="14" t="s">
        <v>51</v>
      </c>
      <c r="B18" s="8">
        <f>SUMIF(Carteira!$B$5:$B$12,A18,Carteira!$G$5:$G$12)</f>
        <v>0</v>
      </c>
      <c r="C18" s="16">
        <f>IF($B$5=0,0,B18/$B$5)</f>
        <v>0.0</v>
      </c>
    </row>
    <row r="20" spans="1:4">
      <c r="A20" s="9" t="s">
        <v>52</v>
      </c>
      <c r="B20" s="9"/>
    </row>
    <row r="21" spans="1:4">
      <c r="A21" s="3" t="s">
        <v>39</v>
      </c>
      <c r="B21" s="3" t="s">
        <v>53</v>
      </c>
    </row>
    <row r="22" spans="1:4">
      <c r="A22" s="14" t="s">
        <v>54</v>
      </c>
      <c r="B22" s="8">
        <f>SUMIF(Proventos!$E$5:$E$14,A22,Proventos!$D$5:$D$14)</f>
        <v>89.69999999999999</v>
      </c>
    </row>
    <row r="23" spans="1:4">
      <c r="A23" s="14" t="s">
        <v>55</v>
      </c>
      <c r="B23" s="8">
        <f>SUMIF(Proventos!$E$5:$E$14,A23,Proventos!$D$5:$D$14)</f>
        <v>80.4</v>
      </c>
    </row>
    <row r="24" spans="1:4">
      <c r="A24" s="14" t="s">
        <v>56</v>
      </c>
      <c r="B24" s="8">
        <f>SUMIF(Proventos!$E$5:$E$14,A24,Proventos!$D$5:$D$14)</f>
        <v>16.8</v>
      </c>
    </row>
    <row r="25" spans="1:4">
      <c r="A25" s="14" t="s">
        <v>57</v>
      </c>
      <c r="B25" s="8">
        <f>SUMIF(Proventos!$E$5:$E$14,A25,Proventos!$D$5:$D$14)</f>
        <v>45.0</v>
      </c>
    </row>
    <row r="26" spans="1:4">
      <c r="A26" s="14" t="s">
        <v>58</v>
      </c>
      <c r="B26" s="8">
        <f>SUMIF(Proventos!$E$5:$E$14,A26,Proventos!$D$5:$D$14)</f>
        <v>58.4</v>
      </c>
    </row>
    <row r="28" spans="1:4">
      <c r="A28" s="2" t="s">
        <v>59</v>
      </c>
      <c r="B28" s="2"/>
      <c r="C28" s="2"/>
      <c r="D28" s="2"/>
    </row>
  </sheetData>
  <mergeCells count="5">
    <mergeCell ref="A1:D1"/>
    <mergeCell ref="A3:B3"/>
    <mergeCell ref="A11:C11"/>
    <mergeCell ref="A20:B20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Carteira</vt:lpstr>
      <vt:lpstr>Movimentações</vt:lpstr>
      <vt:lpstr>Proventos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2026-08-09T16:22:02Z</dcterms:created>
  <dcterms:modified xsi:type="dcterms:W3CDTF">2026-08-09T16:22:02Z</dcterms:modified>
</cp:coreProperties>
</file>